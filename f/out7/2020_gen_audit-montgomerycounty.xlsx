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udits\20 Nov RLA\20 Nov RLA Reporting\"/>
    </mc:Choice>
  </mc:AlternateContent>
  <xr:revisionPtr revIDLastSave="0" documentId="13_ncr:40009_{708B8180-A1E8-41A2-8DB3-3FA5A4F38751}" xr6:coauthVersionLast="45" xr6:coauthVersionMax="45" xr10:uidLastSave="{00000000-0000-0000-0000-000000000000}"/>
  <bookViews>
    <workbookView xWindow="8148" yWindow="228" windowWidth="14376" windowHeight="11592"/>
  </bookViews>
  <sheets>
    <sheet name="20 Nov Audit Report Montgomery " sheetId="1" r:id="rId1"/>
    <sheet name="Totals Spreadsheet" sheetId="2" r:id="rId2"/>
  </sheets>
  <calcPr calcId="0"/>
</workbook>
</file>

<file path=xl/calcChain.xml><?xml version="1.0" encoding="utf-8"?>
<calcChain xmlns="http://schemas.openxmlformats.org/spreadsheetml/2006/main">
  <c r="R11" i="2" l="1"/>
  <c r="Q11" i="2"/>
  <c r="P11" i="2"/>
  <c r="O11" i="2"/>
  <c r="M11" i="2"/>
  <c r="L11" i="2"/>
  <c r="K11" i="2"/>
  <c r="J11" i="2"/>
  <c r="H11" i="2"/>
  <c r="G11" i="2"/>
  <c r="F11" i="2"/>
  <c r="E11" i="2"/>
  <c r="D11" i="2"/>
  <c r="C11" i="2"/>
  <c r="B11" i="2"/>
  <c r="T8" i="2"/>
  <c r="T7" i="2"/>
  <c r="T6" i="2"/>
  <c r="T5" i="2"/>
  <c r="T4" i="2"/>
  <c r="T3" i="2"/>
  <c r="T11" i="2" s="1"/>
</calcChain>
</file>

<file path=xl/sharedStrings.xml><?xml version="1.0" encoding="utf-8"?>
<sst xmlns="http://schemas.openxmlformats.org/spreadsheetml/2006/main" count="79" uniqueCount="59">
  <si>
    <t>Number of Winners</t>
  </si>
  <si>
    <t>Votes Allowed</t>
  </si>
  <si>
    <t>Total Ballots Cast</t>
  </si>
  <si>
    <t>Risk Limit</t>
  </si>
  <si>
    <t>Random Seed</t>
  </si>
  <si>
    <t>Round 1 Sample Size</t>
  </si>
  <si>
    <t>Round 1 P-Value</t>
  </si>
  <si>
    <t>Round 1 Risk Limit Met?</t>
  </si>
  <si>
    <t>Yes</t>
  </si>
  <si>
    <t>Round 1 Start</t>
  </si>
  <si>
    <t>Round 1 End</t>
  </si>
  <si>
    <t>Round 1 Samples</t>
  </si>
  <si>
    <t>DEM Biden/Harris</t>
  </si>
  <si>
    <t>Hawkins/Walker</t>
  </si>
  <si>
    <t>LIB Jorgensen/Cohen</t>
  </si>
  <si>
    <t>REP Trump/Pence</t>
  </si>
  <si>
    <t>Write-in Total (summary)</t>
  </si>
  <si>
    <t>Round 1 Audited Votes Biden/Harris</t>
  </si>
  <si>
    <t>Round 1 Audited Votes Hawkins/Walker</t>
  </si>
  <si>
    <t>Round 1 Audited Votes LIB Jorgensen/Cohen</t>
  </si>
  <si>
    <t>Round 1 Audited Votes REP Trump/Pence</t>
  </si>
  <si>
    <t>Round 1 Audited Votes Write-in Total (summary)</t>
  </si>
  <si>
    <t>Round 1 Audited Overvotes</t>
  </si>
  <si>
    <t>Round 1 Audited Undervotes</t>
  </si>
  <si>
    <t>Round 1  Risk Limit Met?</t>
  </si>
  <si>
    <t>RLA Parameters</t>
  </si>
  <si>
    <t>2 Dec 20 8:30 AM</t>
  </si>
  <si>
    <t>3 Dec 2020 12:00 PM</t>
  </si>
  <si>
    <t>Ballot Retrieval Document Attached</t>
  </si>
  <si>
    <t xml:space="preserve">            President</t>
  </si>
  <si>
    <t>Justice, 
Supreme Court</t>
  </si>
  <si>
    <t>Clerk, Court of Common Pleas</t>
  </si>
  <si>
    <t>Ballot Board</t>
  </si>
  <si>
    <t>Biden/Harris</t>
  </si>
  <si>
    <t>Jorgensen/Cohen</t>
  </si>
  <si>
    <t>Trump/Pence</t>
  </si>
  <si>
    <t>Write-in</t>
  </si>
  <si>
    <t>Overvotes</t>
  </si>
  <si>
    <t>Undervotes</t>
  </si>
  <si>
    <t>Brunner</t>
  </si>
  <si>
    <t>French</t>
  </si>
  <si>
    <t>Dickerson</t>
  </si>
  <si>
    <t>Foley</t>
  </si>
  <si>
    <t>Ballots/Group</t>
  </si>
  <si>
    <t>TOTAL VOTES</t>
  </si>
  <si>
    <t>Total Ballots (SUM COL T)</t>
  </si>
  <si>
    <t>President/Vice President</t>
  </si>
  <si>
    <t>Supreme Court FTC 1/2/2021</t>
  </si>
  <si>
    <t>Round 1 Audited Votes Brunner</t>
  </si>
  <si>
    <t>Round 1 Audited Votes French</t>
  </si>
  <si>
    <t>6.871132058189344e-06 (0.0007%)</t>
  </si>
  <si>
    <t>.02426372134036542 (2.4264%)</t>
  </si>
  <si>
    <t>Clerk of Court of Common Pleas</t>
  </si>
  <si>
    <t>DEM Dickerson</t>
  </si>
  <si>
    <t>REP Foley</t>
  </si>
  <si>
    <t>Round 1 Audited Votes Dickerson</t>
  </si>
  <si>
    <t>Round 1 Audited Votes Foley</t>
  </si>
  <si>
    <t>0.01208480417198815 (1.2085%)</t>
  </si>
  <si>
    <t>7, 8, 9, 6, 3, 7, 3, 2, 8, 2, 8, 5, 7, 4, 8, 5, 3, 0, 6, 1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</si>
</sst>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/>
      <right style="thin">
        <color rgb="FF000000"/>
      </right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/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4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wrapText="1"/>
    </xf>
    <xf numFmtId="0" fontId="0" fillId="0" borderId="0" xfId="0"/>
    <xf numFmtId="0" fontId="0" fillId="0" borderId="10" xfId="0" applyBorder="1"/>
    <xf numFmtId="0" fontId="19" fillId="0" borderId="10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11" xfId="0" applyFont="1" applyBorder="1"/>
    <xf numFmtId="0" fontId="20" fillId="0" borderId="12" xfId="0" applyFont="1" applyBorder="1" applyAlignment="1">
      <alignment horizontal="center" textRotation="73"/>
    </xf>
    <xf numFmtId="0" fontId="20" fillId="0" borderId="13" xfId="0" applyFont="1" applyBorder="1" applyAlignment="1">
      <alignment horizontal="center" textRotation="73"/>
    </xf>
    <xf numFmtId="0" fontId="20" fillId="0" borderId="14" xfId="0" applyFont="1" applyBorder="1" applyAlignment="1">
      <alignment horizontal="center" textRotation="73"/>
    </xf>
    <xf numFmtId="0" fontId="20" fillId="0" borderId="15" xfId="0" applyFont="1" applyBorder="1" applyAlignment="1">
      <alignment horizontal="center" textRotation="73"/>
    </xf>
    <xf numFmtId="0" fontId="20" fillId="0" borderId="16" xfId="0" applyFont="1" applyBorder="1" applyAlignment="1">
      <alignment horizontal="center" textRotation="73"/>
    </xf>
    <xf numFmtId="0" fontId="20" fillId="0" borderId="17" xfId="0" applyFont="1" applyBorder="1" applyAlignment="1">
      <alignment horizontal="center" textRotation="73"/>
    </xf>
    <xf numFmtId="0" fontId="20" fillId="0" borderId="18" xfId="0" applyFont="1" applyBorder="1" applyAlignment="1">
      <alignment horizontal="center" textRotation="73"/>
    </xf>
    <xf numFmtId="0" fontId="20" fillId="0" borderId="17" xfId="0" applyFont="1" applyBorder="1" applyAlignment="1">
      <alignment horizontal="center" textRotation="73" wrapText="1"/>
    </xf>
    <xf numFmtId="0" fontId="21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8" fillId="0" borderId="16" xfId="0" applyFont="1" applyBorder="1"/>
    <xf numFmtId="0" fontId="18" fillId="0" borderId="27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37" xfId="0" applyFont="1" applyBorder="1" applyAlignment="1">
      <alignment horizontal="center" wrapText="1"/>
    </xf>
    <xf numFmtId="0" fontId="22" fillId="0" borderId="38" xfId="0" applyFont="1" applyBorder="1" applyAlignment="1">
      <alignment horizontal="center"/>
    </xf>
    <xf numFmtId="0" fontId="22" fillId="0" borderId="39" xfId="0" applyFont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0" fontId="22" fillId="0" borderId="42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21" fillId="0" borderId="37" xfId="0" applyFont="1" applyBorder="1" applyAlignment="1">
      <alignment horizontal="center"/>
    </xf>
    <xf numFmtId="0" fontId="21" fillId="0" borderId="0" xfId="0" applyFont="1" applyAlignment="1">
      <alignment wrapText="1"/>
    </xf>
    <xf numFmtId="0" fontId="0" fillId="0" borderId="46" xfId="0" applyBorder="1"/>
    <xf numFmtId="0" fontId="0" fillId="0" borderId="47" xfId="0" applyBorder="1"/>
    <xf numFmtId="9" fontId="0" fillId="0" borderId="47" xfId="0" applyNumberFormat="1" applyBorder="1"/>
    <xf numFmtId="11" fontId="0" fillId="0" borderId="47" xfId="0" applyNumberFormat="1" applyBorder="1"/>
    <xf numFmtId="49" fontId="0" fillId="0" borderId="47" xfId="0" applyNumberFormat="1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9" fontId="0" fillId="0" borderId="46" xfId="0" applyNumberFormat="1" applyBorder="1"/>
    <xf numFmtId="11" fontId="0" fillId="0" borderId="46" xfId="0" applyNumberFormat="1" applyBorder="1"/>
    <xf numFmtId="47" fontId="0" fillId="0" borderId="46" xfId="0" applyNumberFormat="1" applyBorder="1"/>
    <xf numFmtId="0" fontId="23" fillId="0" borderId="47" xfId="0" applyFont="1" applyBorder="1" applyAlignment="1">
      <alignment horizontal="left" vertical="center"/>
    </xf>
    <xf numFmtId="0" fontId="0" fillId="33" borderId="44" xfId="0" applyFill="1" applyBorder="1"/>
    <xf numFmtId="0" fontId="0" fillId="33" borderId="45" xfId="0" applyFill="1" applyBorder="1"/>
    <xf numFmtId="0" fontId="16" fillId="34" borderId="52" xfId="0" applyFont="1" applyFill="1" applyBorder="1"/>
    <xf numFmtId="0" fontId="0" fillId="34" borderId="5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EBEBEB"/>
          <bgColor rgb="FFEBEB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zoomScale="120" zoomScaleNormal="120" workbookViewId="0">
      <selection activeCell="C10" sqref="C10"/>
    </sheetView>
  </sheetViews>
  <sheetFormatPr defaultRowHeight="14.4"/>
  <cols>
    <col min="1" max="1" width="42.77734375" bestFit="1" customWidth="1"/>
    <col min="2" max="2" width="39.44140625" bestFit="1" customWidth="1"/>
    <col min="3" max="3" width="27.109375" customWidth="1"/>
    <col min="4" max="4" width="19.44140625" bestFit="1" customWidth="1"/>
  </cols>
  <sheetData>
    <row r="1" spans="1:2" ht="15" thickBot="1">
      <c r="A1" s="62" t="s">
        <v>25</v>
      </c>
      <c r="B1" s="63"/>
    </row>
    <row r="2" spans="1:2">
      <c r="A2" s="54" t="s">
        <v>2</v>
      </c>
      <c r="B2" s="55">
        <v>270531</v>
      </c>
    </row>
    <row r="3" spans="1:2">
      <c r="A3" s="47" t="s">
        <v>3</v>
      </c>
      <c r="B3" s="49">
        <v>0.1</v>
      </c>
    </row>
    <row r="4" spans="1:2">
      <c r="A4" s="47" t="s">
        <v>4</v>
      </c>
      <c r="B4" s="50" t="s">
        <v>58</v>
      </c>
    </row>
    <row r="5" spans="1:2">
      <c r="A5" s="47" t="s">
        <v>5</v>
      </c>
      <c r="B5" s="48">
        <v>1200</v>
      </c>
    </row>
    <row r="6" spans="1:2">
      <c r="A6" s="47" t="s">
        <v>9</v>
      </c>
      <c r="B6" s="51" t="s">
        <v>26</v>
      </c>
    </row>
    <row r="7" spans="1:2">
      <c r="A7" s="47" t="s">
        <v>10</v>
      </c>
      <c r="B7" s="51" t="s">
        <v>27</v>
      </c>
    </row>
    <row r="8" spans="1:2" ht="15" thickBot="1">
      <c r="A8" s="52" t="s">
        <v>11</v>
      </c>
      <c r="B8" s="53" t="s">
        <v>28</v>
      </c>
    </row>
    <row r="9" spans="1:2" ht="15" thickBot="1">
      <c r="A9" s="60"/>
      <c r="B9" s="61"/>
    </row>
    <row r="10" spans="1:2" ht="15" thickBot="1">
      <c r="A10" s="62" t="s">
        <v>46</v>
      </c>
      <c r="B10" s="63"/>
    </row>
    <row r="11" spans="1:2">
      <c r="A11" s="54" t="s">
        <v>0</v>
      </c>
      <c r="B11" s="55">
        <v>1</v>
      </c>
    </row>
    <row r="12" spans="1:2">
      <c r="A12" s="47" t="s">
        <v>1</v>
      </c>
      <c r="B12" s="48">
        <v>1</v>
      </c>
    </row>
    <row r="13" spans="1:2">
      <c r="A13" s="47" t="s">
        <v>12</v>
      </c>
      <c r="B13" s="48">
        <v>135064</v>
      </c>
    </row>
    <row r="14" spans="1:2">
      <c r="A14" s="47" t="s">
        <v>13</v>
      </c>
      <c r="B14" s="48">
        <v>884</v>
      </c>
    </row>
    <row r="15" spans="1:2">
      <c r="A15" s="56" t="s">
        <v>14</v>
      </c>
      <c r="B15" s="48">
        <v>3418</v>
      </c>
    </row>
    <row r="16" spans="1:2">
      <c r="A16" s="57" t="s">
        <v>15</v>
      </c>
      <c r="B16" s="48">
        <v>129034</v>
      </c>
    </row>
    <row r="17" spans="1:2">
      <c r="A17" s="47" t="s">
        <v>16</v>
      </c>
      <c r="B17" s="48">
        <v>764</v>
      </c>
    </row>
    <row r="18" spans="1:2">
      <c r="A18" s="47" t="s">
        <v>17</v>
      </c>
      <c r="B18" s="48">
        <v>608</v>
      </c>
    </row>
    <row r="19" spans="1:2">
      <c r="A19" s="47" t="s">
        <v>18</v>
      </c>
      <c r="B19" s="48">
        <v>2</v>
      </c>
    </row>
    <row r="20" spans="1:2">
      <c r="A20" s="47" t="s">
        <v>19</v>
      </c>
      <c r="B20" s="48">
        <v>23</v>
      </c>
    </row>
    <row r="21" spans="1:2">
      <c r="A21" s="47" t="s">
        <v>20</v>
      </c>
      <c r="B21" s="48">
        <v>558</v>
      </c>
    </row>
    <row r="22" spans="1:2">
      <c r="A22" s="58" t="s">
        <v>21</v>
      </c>
      <c r="B22" s="48">
        <v>4</v>
      </c>
    </row>
    <row r="23" spans="1:2">
      <c r="A23" s="58" t="s">
        <v>22</v>
      </c>
      <c r="B23" s="48">
        <v>0</v>
      </c>
    </row>
    <row r="24" spans="1:2">
      <c r="A24" s="47" t="s">
        <v>23</v>
      </c>
      <c r="B24" s="48">
        <v>5</v>
      </c>
    </row>
    <row r="25" spans="1:2">
      <c r="A25" s="47" t="s">
        <v>6</v>
      </c>
      <c r="B25" s="59" t="s">
        <v>51</v>
      </c>
    </row>
    <row r="26" spans="1:2" ht="15" thickBot="1">
      <c r="A26" s="52" t="s">
        <v>24</v>
      </c>
      <c r="B26" s="53" t="s">
        <v>8</v>
      </c>
    </row>
    <row r="27" spans="1:2" ht="15" thickBot="1">
      <c r="A27" s="60"/>
      <c r="B27" s="61"/>
    </row>
    <row r="28" spans="1:2" ht="15" thickBot="1">
      <c r="A28" s="62" t="s">
        <v>47</v>
      </c>
      <c r="B28" s="63"/>
    </row>
    <row r="29" spans="1:2">
      <c r="A29" s="54" t="s">
        <v>0</v>
      </c>
      <c r="B29" s="55">
        <v>1</v>
      </c>
    </row>
    <row r="30" spans="1:2">
      <c r="A30" s="47" t="s">
        <v>1</v>
      </c>
      <c r="B30" s="48">
        <v>1</v>
      </c>
    </row>
    <row r="31" spans="1:2">
      <c r="A31" s="47" t="s">
        <v>39</v>
      </c>
      <c r="B31" s="48">
        <v>127874</v>
      </c>
    </row>
    <row r="32" spans="1:2">
      <c r="A32" s="47" t="s">
        <v>40</v>
      </c>
      <c r="B32" s="48">
        <v>106832</v>
      </c>
    </row>
    <row r="33" spans="1:2">
      <c r="A33" s="47" t="s">
        <v>48</v>
      </c>
      <c r="B33" s="48">
        <v>601</v>
      </c>
    </row>
    <row r="34" spans="1:2">
      <c r="A34" s="47" t="s">
        <v>49</v>
      </c>
      <c r="B34" s="48">
        <v>460</v>
      </c>
    </row>
    <row r="35" spans="1:2">
      <c r="A35" s="47" t="s">
        <v>22</v>
      </c>
      <c r="B35" s="48">
        <v>24</v>
      </c>
    </row>
    <row r="36" spans="1:2">
      <c r="A36" s="47" t="s">
        <v>23</v>
      </c>
      <c r="B36" s="48">
        <v>115</v>
      </c>
    </row>
    <row r="37" spans="1:2">
      <c r="A37" s="47" t="s">
        <v>6</v>
      </c>
      <c r="B37" s="59" t="s">
        <v>50</v>
      </c>
    </row>
    <row r="38" spans="1:2" ht="15" thickBot="1">
      <c r="A38" s="52" t="s">
        <v>7</v>
      </c>
      <c r="B38" s="53" t="s">
        <v>8</v>
      </c>
    </row>
    <row r="39" spans="1:2" ht="15" thickBot="1">
      <c r="A39" s="60"/>
      <c r="B39" s="61"/>
    </row>
    <row r="40" spans="1:2" ht="15" thickBot="1">
      <c r="A40" s="62" t="s">
        <v>52</v>
      </c>
      <c r="B40" s="63"/>
    </row>
    <row r="41" spans="1:2">
      <c r="A41" s="54" t="s">
        <v>0</v>
      </c>
      <c r="B41" s="55">
        <v>1</v>
      </c>
    </row>
    <row r="42" spans="1:2">
      <c r="A42" s="47" t="s">
        <v>1</v>
      </c>
      <c r="B42" s="48">
        <v>1</v>
      </c>
    </row>
    <row r="43" spans="1:2">
      <c r="A43" s="47" t="s">
        <v>53</v>
      </c>
      <c r="B43" s="48">
        <v>117812</v>
      </c>
    </row>
    <row r="44" spans="1:2">
      <c r="A44" s="47" t="s">
        <v>54</v>
      </c>
      <c r="B44" s="48">
        <v>143014</v>
      </c>
    </row>
    <row r="45" spans="1:2">
      <c r="A45" s="47" t="s">
        <v>55</v>
      </c>
      <c r="B45" s="48">
        <v>542</v>
      </c>
    </row>
    <row r="46" spans="1:2">
      <c r="A46" s="47" t="s">
        <v>56</v>
      </c>
      <c r="B46" s="48">
        <v>623</v>
      </c>
    </row>
    <row r="47" spans="1:2">
      <c r="A47" s="47" t="s">
        <v>22</v>
      </c>
      <c r="B47" s="48">
        <v>0</v>
      </c>
    </row>
    <row r="48" spans="1:2">
      <c r="A48" s="47" t="s">
        <v>23</v>
      </c>
      <c r="B48" s="48">
        <v>35</v>
      </c>
    </row>
    <row r="49" spans="1:2">
      <c r="A49" s="47" t="s">
        <v>6</v>
      </c>
      <c r="B49" s="59" t="s">
        <v>57</v>
      </c>
    </row>
    <row r="50" spans="1:2" ht="15" thickBot="1">
      <c r="A50" s="52" t="s">
        <v>7</v>
      </c>
      <c r="B50" s="53" t="s">
        <v>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F14" sqref="F14"/>
    </sheetView>
  </sheetViews>
  <sheetFormatPr defaultRowHeight="14.4"/>
  <sheetData>
    <row r="1" spans="1:20" ht="16.2" thickBot="1">
      <c r="A1" s="1"/>
      <c r="B1" s="2" t="s">
        <v>29</v>
      </c>
      <c r="C1" s="3"/>
      <c r="D1" s="3"/>
      <c r="E1" s="3"/>
      <c r="F1" s="3"/>
      <c r="G1" s="3"/>
      <c r="H1" s="3"/>
      <c r="I1" s="4"/>
      <c r="K1" s="2" t="s">
        <v>30</v>
      </c>
      <c r="L1" s="2"/>
      <c r="M1" s="3"/>
      <c r="N1" s="5"/>
      <c r="O1" s="6"/>
      <c r="P1" s="2" t="s">
        <v>31</v>
      </c>
      <c r="Q1" s="2"/>
      <c r="R1" s="3"/>
      <c r="S1" s="3"/>
      <c r="T1" s="1"/>
    </row>
    <row r="2" spans="1:20" ht="102" thickBot="1">
      <c r="A2" s="7" t="s">
        <v>32</v>
      </c>
      <c r="B2" s="8" t="s">
        <v>33</v>
      </c>
      <c r="C2" s="9" t="s">
        <v>13</v>
      </c>
      <c r="D2" s="9" t="s">
        <v>34</v>
      </c>
      <c r="E2" s="9" t="s">
        <v>35</v>
      </c>
      <c r="F2" s="9" t="s">
        <v>36</v>
      </c>
      <c r="G2" s="10" t="s">
        <v>37</v>
      </c>
      <c r="H2" s="11" t="s">
        <v>38</v>
      </c>
      <c r="I2" s="12"/>
      <c r="J2" s="13" t="s">
        <v>39</v>
      </c>
      <c r="K2" s="14" t="s">
        <v>40</v>
      </c>
      <c r="L2" s="14" t="s">
        <v>37</v>
      </c>
      <c r="M2" s="14" t="s">
        <v>38</v>
      </c>
      <c r="N2" s="12"/>
      <c r="O2" s="13" t="s">
        <v>41</v>
      </c>
      <c r="P2" s="14" t="s">
        <v>42</v>
      </c>
      <c r="Q2" s="14" t="s">
        <v>37</v>
      </c>
      <c r="R2" s="14" t="s">
        <v>38</v>
      </c>
      <c r="S2" s="1"/>
      <c r="T2" s="15" t="s">
        <v>43</v>
      </c>
    </row>
    <row r="3" spans="1:20" ht="15" thickBot="1">
      <c r="A3" s="16">
        <v>1</v>
      </c>
      <c r="B3" s="17">
        <v>93</v>
      </c>
      <c r="C3" s="18">
        <v>0</v>
      </c>
      <c r="D3" s="19">
        <v>5</v>
      </c>
      <c r="E3" s="20">
        <v>102</v>
      </c>
      <c r="F3" s="21">
        <v>0</v>
      </c>
      <c r="G3" s="21">
        <v>0</v>
      </c>
      <c r="H3" s="22">
        <v>0</v>
      </c>
      <c r="I3" s="23"/>
      <c r="J3" s="24">
        <v>88</v>
      </c>
      <c r="K3" s="18">
        <v>88</v>
      </c>
      <c r="L3" s="21">
        <v>24</v>
      </c>
      <c r="M3" s="22">
        <v>0</v>
      </c>
      <c r="N3" s="23"/>
      <c r="O3" s="17">
        <v>78</v>
      </c>
      <c r="P3" s="18">
        <v>116</v>
      </c>
      <c r="Q3" s="21">
        <v>0</v>
      </c>
      <c r="R3" s="22">
        <v>6</v>
      </c>
      <c r="S3" s="25"/>
      <c r="T3" s="26">
        <f>SUM(B3:R3)/3</f>
        <v>200</v>
      </c>
    </row>
    <row r="4" spans="1:20" ht="15" thickBot="1">
      <c r="A4" s="16">
        <v>2</v>
      </c>
      <c r="B4" s="27">
        <v>116</v>
      </c>
      <c r="C4" s="28">
        <v>0</v>
      </c>
      <c r="D4" s="29">
        <v>2</v>
      </c>
      <c r="E4" s="30">
        <v>81</v>
      </c>
      <c r="F4" s="31">
        <v>1</v>
      </c>
      <c r="G4" s="31">
        <v>0</v>
      </c>
      <c r="H4" s="32">
        <v>1</v>
      </c>
      <c r="I4" s="33"/>
      <c r="J4" s="34">
        <v>108</v>
      </c>
      <c r="K4" s="28">
        <v>69</v>
      </c>
      <c r="L4" s="31">
        <v>0</v>
      </c>
      <c r="M4" s="32">
        <v>24</v>
      </c>
      <c r="N4" s="33"/>
      <c r="O4" s="34">
        <v>99</v>
      </c>
      <c r="P4" s="28">
        <v>87</v>
      </c>
      <c r="Q4" s="31">
        <v>0</v>
      </c>
      <c r="R4" s="32">
        <v>15</v>
      </c>
      <c r="S4" s="1"/>
      <c r="T4" s="35">
        <f t="shared" ref="T4:T8" si="0">SUM(B4:R4)/3</f>
        <v>201</v>
      </c>
    </row>
    <row r="5" spans="1:20" ht="15" thickBot="1">
      <c r="A5" s="16">
        <v>3</v>
      </c>
      <c r="B5" s="27">
        <v>129</v>
      </c>
      <c r="C5" s="28">
        <v>1</v>
      </c>
      <c r="D5" s="29">
        <v>5</v>
      </c>
      <c r="E5" s="30">
        <v>62</v>
      </c>
      <c r="F5" s="31">
        <v>1</v>
      </c>
      <c r="G5" s="31">
        <v>0</v>
      </c>
      <c r="H5" s="32">
        <v>1</v>
      </c>
      <c r="I5" s="33"/>
      <c r="J5" s="34">
        <v>106</v>
      </c>
      <c r="K5" s="28">
        <v>65</v>
      </c>
      <c r="L5" s="31">
        <v>0</v>
      </c>
      <c r="M5" s="32">
        <v>28</v>
      </c>
      <c r="N5" s="33"/>
      <c r="O5" s="34">
        <v>112</v>
      </c>
      <c r="P5" s="28">
        <v>78</v>
      </c>
      <c r="Q5" s="31">
        <v>0</v>
      </c>
      <c r="R5" s="32">
        <v>9</v>
      </c>
      <c r="S5" s="1"/>
      <c r="T5" s="35">
        <f t="shared" si="0"/>
        <v>199</v>
      </c>
    </row>
    <row r="6" spans="1:20" ht="15" thickBot="1">
      <c r="A6" s="16">
        <v>4</v>
      </c>
      <c r="B6" s="27">
        <v>122</v>
      </c>
      <c r="C6" s="28">
        <v>1</v>
      </c>
      <c r="D6" s="29">
        <v>3</v>
      </c>
      <c r="E6" s="30">
        <v>72</v>
      </c>
      <c r="F6" s="31">
        <v>1</v>
      </c>
      <c r="G6" s="31">
        <v>0</v>
      </c>
      <c r="H6" s="32">
        <v>1</v>
      </c>
      <c r="I6" s="33"/>
      <c r="J6" s="34">
        <v>116</v>
      </c>
      <c r="K6" s="28">
        <v>63</v>
      </c>
      <c r="L6" s="31">
        <v>0</v>
      </c>
      <c r="M6" s="32">
        <v>21</v>
      </c>
      <c r="N6" s="33"/>
      <c r="O6" s="34">
        <v>115</v>
      </c>
      <c r="P6" s="28">
        <v>82</v>
      </c>
      <c r="Q6" s="31">
        <v>0</v>
      </c>
      <c r="R6" s="32">
        <v>3</v>
      </c>
      <c r="S6" s="1"/>
      <c r="T6" s="35">
        <f t="shared" si="0"/>
        <v>200</v>
      </c>
    </row>
    <row r="7" spans="1:20" ht="15" thickBot="1">
      <c r="A7" s="16">
        <v>5</v>
      </c>
      <c r="B7" s="27">
        <v>85</v>
      </c>
      <c r="C7" s="28">
        <v>0</v>
      </c>
      <c r="D7" s="29">
        <v>5</v>
      </c>
      <c r="E7" s="30">
        <v>110</v>
      </c>
      <c r="F7" s="31">
        <v>0</v>
      </c>
      <c r="G7" s="31">
        <v>0</v>
      </c>
      <c r="H7" s="32">
        <v>0</v>
      </c>
      <c r="I7" s="33"/>
      <c r="J7" s="34">
        <v>89</v>
      </c>
      <c r="K7" s="28">
        <v>90</v>
      </c>
      <c r="L7" s="31">
        <v>0</v>
      </c>
      <c r="M7" s="32">
        <v>21</v>
      </c>
      <c r="N7" s="33"/>
      <c r="O7" s="34">
        <v>73</v>
      </c>
      <c r="P7" s="28">
        <v>125</v>
      </c>
      <c r="Q7" s="31">
        <v>0</v>
      </c>
      <c r="R7" s="32">
        <v>2</v>
      </c>
      <c r="S7" s="1"/>
      <c r="T7" s="35">
        <f t="shared" si="0"/>
        <v>200</v>
      </c>
    </row>
    <row r="8" spans="1:20" ht="15" thickBot="1">
      <c r="A8" s="16">
        <v>6</v>
      </c>
      <c r="B8" s="27">
        <v>63</v>
      </c>
      <c r="C8" s="28">
        <v>0</v>
      </c>
      <c r="D8" s="29">
        <v>3</v>
      </c>
      <c r="E8" s="30">
        <v>131</v>
      </c>
      <c r="F8" s="31">
        <v>1</v>
      </c>
      <c r="G8" s="31">
        <v>0</v>
      </c>
      <c r="H8" s="32">
        <v>2</v>
      </c>
      <c r="I8" s="33"/>
      <c r="J8" s="34">
        <v>94</v>
      </c>
      <c r="K8" s="28">
        <v>85</v>
      </c>
      <c r="L8" s="31">
        <v>0</v>
      </c>
      <c r="M8" s="32">
        <v>21</v>
      </c>
      <c r="N8" s="33"/>
      <c r="O8" s="34">
        <v>65</v>
      </c>
      <c r="P8" s="28">
        <v>135</v>
      </c>
      <c r="Q8" s="31">
        <v>0</v>
      </c>
      <c r="R8" s="32">
        <v>0</v>
      </c>
      <c r="S8" s="1"/>
      <c r="T8" s="35">
        <f t="shared" si="0"/>
        <v>200</v>
      </c>
    </row>
    <row r="9" spans="1:20">
      <c r="A9" s="3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7"/>
    </row>
    <row r="10" spans="1:20" ht="15" thickBo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37"/>
    </row>
    <row r="11" spans="1:20" ht="31.8" thickBot="1">
      <c r="A11" s="38" t="s">
        <v>44</v>
      </c>
      <c r="B11" s="39">
        <f t="shared" ref="B11:H11" si="1">SUM(B3:B8)</f>
        <v>608</v>
      </c>
      <c r="C11" s="39">
        <f t="shared" si="1"/>
        <v>2</v>
      </c>
      <c r="D11" s="40">
        <f t="shared" si="1"/>
        <v>23</v>
      </c>
      <c r="E11" s="41">
        <f t="shared" si="1"/>
        <v>558</v>
      </c>
      <c r="F11" s="39">
        <f t="shared" si="1"/>
        <v>4</v>
      </c>
      <c r="G11" s="39">
        <f t="shared" si="1"/>
        <v>0</v>
      </c>
      <c r="H11" s="42">
        <f t="shared" si="1"/>
        <v>5</v>
      </c>
      <c r="I11" s="43"/>
      <c r="J11" s="44">
        <f>SUM(J3:J8)</f>
        <v>601</v>
      </c>
      <c r="K11" s="39">
        <f>SUM(K3:K8)</f>
        <v>460</v>
      </c>
      <c r="L11" s="39">
        <f>SUM(L3:L8)</f>
        <v>24</v>
      </c>
      <c r="M11" s="42">
        <f>SUM(M3:M8)</f>
        <v>115</v>
      </c>
      <c r="N11" s="43"/>
      <c r="O11" s="44">
        <f>SUM(O3:O8)</f>
        <v>542</v>
      </c>
      <c r="P11" s="39">
        <f>SUM(P3:P8)</f>
        <v>623</v>
      </c>
      <c r="Q11" s="39">
        <f>SUM(Q3:Q8)</f>
        <v>0</v>
      </c>
      <c r="R11" s="42">
        <f>SUM(R3:R8)</f>
        <v>35</v>
      </c>
      <c r="S11" s="1"/>
      <c r="T11" s="45">
        <f>SUM(T3:T8)</f>
        <v>1200</v>
      </c>
    </row>
    <row r="12" spans="1:20" ht="57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6" t="s">
        <v>45</v>
      </c>
    </row>
  </sheetData>
  <mergeCells count="3">
    <mergeCell ref="B1:H1"/>
    <mergeCell ref="K1:M1"/>
    <mergeCell ref="P1:S1"/>
  </mergeCells>
  <conditionalFormatting sqref="B3:R9 T3:T9">
    <cfRule type="expression" dxfId="0" priority="1">
      <formula>EVEN(ROW())=ROW()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Nov Audit Report Montgomery </vt:lpstr>
      <vt:lpstr>Totals 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Greathouse</dc:creator>
  <cp:lastModifiedBy>Sarah Greathouse</cp:lastModifiedBy>
  <dcterms:created xsi:type="dcterms:W3CDTF">2020-12-18T16:38:02Z</dcterms:created>
  <dcterms:modified xsi:type="dcterms:W3CDTF">2020-12-18T17:29:17Z</dcterms:modified>
</cp:coreProperties>
</file>